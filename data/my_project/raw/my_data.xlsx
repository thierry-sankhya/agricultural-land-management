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oll\DELL_local_code\CarbonIQ\agricultural-land-management\data\my_project\raw\"/>
    </mc:Choice>
  </mc:AlternateContent>
  <xr:revisionPtr revIDLastSave="0" documentId="13_ncr:1_{560D2A48-5A4E-404C-90A8-AA9FA17F7EDD}" xr6:coauthVersionLast="47" xr6:coauthVersionMax="47" xr10:uidLastSave="{00000000-0000-0000-0000-000000000000}"/>
  <bookViews>
    <workbookView xWindow="750" yWindow="1245" windowWidth="26400" windowHeight="15645" firstSheet="1" activeTab="7" xr2:uid="{9B51F04F-7C9B-484C-9CA7-D1EDE120DFB6}"/>
  </bookViews>
  <sheets>
    <sheet name="projects" sheetId="5" r:id="rId1"/>
    <sheet name="annual_activity_data" sheetId="4" r:id="rId2"/>
    <sheet name="sample_points" sheetId="2" r:id="rId3"/>
    <sheet name="soc_reference_stocks" sheetId="6" r:id="rId4"/>
    <sheet name="soc_samples" sheetId="1" r:id="rId5"/>
    <sheet name="soc_stock_change_factors" sheetId="7" r:id="rId6"/>
    <sheet name="strata" sheetId="3" r:id="rId7"/>
    <sheet name="calc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8" l="1"/>
  <c r="N5" i="8"/>
  <c r="N6" i="8"/>
  <c r="N7" i="8"/>
  <c r="N8" i="8"/>
  <c r="N9" i="8"/>
  <c r="N10" i="8"/>
  <c r="N11" i="8"/>
  <c r="N3" i="8"/>
</calcChain>
</file>

<file path=xl/sharedStrings.xml><?xml version="1.0" encoding="utf-8"?>
<sst xmlns="http://schemas.openxmlformats.org/spreadsheetml/2006/main" count="543" uniqueCount="223">
  <si>
    <t>sample_id</t>
  </si>
  <si>
    <t>project_id</t>
  </si>
  <si>
    <t>stratum_id</t>
  </si>
  <si>
    <t>plot_id</t>
  </si>
  <si>
    <t>sample_event_id</t>
  </si>
  <si>
    <t>sample_date</t>
  </si>
  <si>
    <t>depth_top_cm</t>
  </si>
  <si>
    <t>depth_bottom_cm</t>
  </si>
  <si>
    <t>soc_percent</t>
  </si>
  <si>
    <t>bulk_density_g_cm3</t>
  </si>
  <si>
    <t>coarse_fragment_vol_frac</t>
  </si>
  <si>
    <t>soil_moisture_pct</t>
  </si>
  <si>
    <t>ph</t>
  </si>
  <si>
    <t>texture_class</t>
  </si>
  <si>
    <t>lab_method</t>
  </si>
  <si>
    <t>latitude</t>
  </si>
  <si>
    <t>longitude</t>
  </si>
  <si>
    <t>qa_status</t>
  </si>
  <si>
    <t>notes</t>
  </si>
  <si>
    <t>PRJ_001</t>
  </si>
  <si>
    <t>STRAT_A</t>
  </si>
  <si>
    <t>PLOT_001</t>
  </si>
  <si>
    <t>EVT_2026_01</t>
  </si>
  <si>
    <t>loam</t>
  </si>
  <si>
    <t>dry_combustion</t>
  </si>
  <si>
    <t>approved</t>
  </si>
  <si>
    <t>STRAT_B</t>
  </si>
  <si>
    <t>PLOT_014</t>
  </si>
  <si>
    <t>clay_loam</t>
  </si>
  <si>
    <t>sampling_unit_id</t>
  </si>
  <si>
    <t>elevation_m</t>
  </si>
  <si>
    <t>slope_pct</t>
  </si>
  <si>
    <t>aspect_deg</t>
  </si>
  <si>
    <t>soil_series</t>
  </si>
  <si>
    <t>soil_taxonomy</t>
  </si>
  <si>
    <t>drainage_class</t>
  </si>
  <si>
    <t>climate_zone</t>
  </si>
  <si>
    <t>land_use_class</t>
  </si>
  <si>
    <t>management_regime</t>
  </si>
  <si>
    <t>irrigated_flag</t>
  </si>
  <si>
    <t>grazing_system</t>
  </si>
  <si>
    <t>agroforestry_flag</t>
  </si>
  <si>
    <t>establishment_year</t>
  </si>
  <si>
    <t>baseline_or_project</t>
  </si>
  <si>
    <t>SU_001</t>
  </si>
  <si>
    <t>Hanford</t>
  </si>
  <si>
    <t>Typic Haploxeralf</t>
  </si>
  <si>
    <t>well_drained</t>
  </si>
  <si>
    <t>warm_temperate_dry</t>
  </si>
  <si>
    <t>cropland</t>
  </si>
  <si>
    <t>reduced_till_cover_crop</t>
  </si>
  <si>
    <t>none</t>
  </si>
  <si>
    <t>project</t>
  </si>
  <si>
    <t>SU_007</t>
  </si>
  <si>
    <t>Diablo</t>
  </si>
  <si>
    <t>Typic Argixeroll</t>
  </si>
  <si>
    <t>moderately_well_drained</t>
  </si>
  <si>
    <t>conventional_till</t>
  </si>
  <si>
    <t>baseline</t>
  </si>
  <si>
    <t>stratum_name</t>
  </si>
  <si>
    <t>area_ha</t>
  </si>
  <si>
    <t>soil_type</t>
  </si>
  <si>
    <t>input_regime</t>
  </si>
  <si>
    <t>water_regime</t>
  </si>
  <si>
    <t>grazing_regime</t>
  </si>
  <si>
    <t>agroforestry_system</t>
  </si>
  <si>
    <t>baseline_land_use</t>
  </si>
  <si>
    <t>baseline_management</t>
  </si>
  <si>
    <t>eligibility_start_date</t>
  </si>
  <si>
    <t>Loam cropland reduced till cover crop</t>
  </si>
  <si>
    <t>HAC_loam</t>
  </si>
  <si>
    <t>medium_input</t>
  </si>
  <si>
    <t>irrigated</t>
  </si>
  <si>
    <t>full_till_low_residue</t>
  </si>
  <si>
    <t>Clay loam conventional till</t>
  </si>
  <si>
    <t>HAC_clay_loam</t>
  </si>
  <si>
    <t>non_irrigated</t>
  </si>
  <si>
    <t>year</t>
  </si>
  <si>
    <t>crop_type</t>
  </si>
  <si>
    <t>cover_crop_flag</t>
  </si>
  <si>
    <t>rotation_class</t>
  </si>
  <si>
    <t>tillage_class</t>
  </si>
  <si>
    <t>residue_return_pct</t>
  </si>
  <si>
    <t>synthetic_n_kg_ha</t>
  </si>
  <si>
    <t>organic_n_kg_ha</t>
  </si>
  <si>
    <t>manure_applied_flag</t>
  </si>
  <si>
    <t>irrigation_mm</t>
  </si>
  <si>
    <t>grazing_intensity_class</t>
  </si>
  <si>
    <t>amendment_type</t>
  </si>
  <si>
    <t>amendment_dry_t_ha</t>
  </si>
  <si>
    <t>biochar_dry_t_ha</t>
  </si>
  <si>
    <t>diesel_l_ha</t>
  </si>
  <si>
    <t>passes_count</t>
  </si>
  <si>
    <t>corn</t>
  </si>
  <si>
    <t>maize_legume</t>
  </si>
  <si>
    <t>reduced_till</t>
  </si>
  <si>
    <t>compost</t>
  </si>
  <si>
    <t>soy</t>
  </si>
  <si>
    <t>no_till</t>
  </si>
  <si>
    <t>wheat</t>
  </si>
  <si>
    <t>wheat_only</t>
  </si>
  <si>
    <t>full_till</t>
  </si>
  <si>
    <t>project_name</t>
  </si>
  <si>
    <t>country</t>
  </si>
  <si>
    <t>region</t>
  </si>
  <si>
    <t>methodology_scope</t>
  </si>
  <si>
    <t>start_date</t>
  </si>
  <si>
    <t>crediting_start_date</t>
  </si>
  <si>
    <t>crediting_end_date</t>
  </si>
  <si>
    <t>baseline_period_start</t>
  </si>
  <si>
    <t>baseline_period_end</t>
  </si>
  <si>
    <t>project_area_ha</t>
  </si>
  <si>
    <t>dominant_land_use</t>
  </si>
  <si>
    <t>validation_status</t>
  </si>
  <si>
    <t>Demo Regenerative Cropland Project</t>
  </si>
  <si>
    <t>USA</t>
  </si>
  <si>
    <t>California</t>
  </si>
  <si>
    <t>IALM_SOC_DEMO</t>
  </si>
  <si>
    <t>draft</t>
  </si>
  <si>
    <t>depth_basis_cm</t>
  </si>
  <si>
    <t>soc_ref_tC_ha</t>
  </si>
  <si>
    <t>source</t>
  </si>
  <si>
    <t>version</t>
  </si>
  <si>
    <t>IPCC_default_demo</t>
  </si>
  <si>
    <t>illustrative</t>
  </si>
  <si>
    <t>cool_temperate_moist</t>
  </si>
  <si>
    <t>flu</t>
  </si>
  <si>
    <t>fmg</t>
  </si>
  <si>
    <t>fi</t>
  </si>
  <si>
    <t>IPCC_demo</t>
  </si>
  <si>
    <t>no_till_cover_crop</t>
  </si>
  <si>
    <t>high_input</t>
  </si>
  <si>
    <t>grassland</t>
  </si>
  <si>
    <t>improved_grazing</t>
  </si>
  <si>
    <t>agroforestry</t>
  </si>
  <si>
    <t>tree_crop_mosaic</t>
  </si>
  <si>
    <t>expert_demo</t>
  </si>
  <si>
    <t>nonstandard illustrative</t>
  </si>
  <si>
    <t>developer</t>
  </si>
  <si>
    <t>end_date</t>
  </si>
  <si>
    <t>New Farm</t>
  </si>
  <si>
    <t>PRJ_002</t>
  </si>
  <si>
    <t>Demo Farm Project</t>
  </si>
  <si>
    <t>Australia</t>
  </si>
  <si>
    <t>NSW_Australia</t>
  </si>
  <si>
    <t>reduced_tillage</t>
  </si>
  <si>
    <t>medium</t>
  </si>
  <si>
    <t>rainfed</t>
  </si>
  <si>
    <t>low</t>
  </si>
  <si>
    <t>warm_temperate_moist</t>
  </si>
  <si>
    <t>aspect</t>
  </si>
  <si>
    <t>N</t>
  </si>
  <si>
    <t>NW</t>
  </si>
  <si>
    <t>perennial grassland</t>
  </si>
  <si>
    <t>paddock</t>
  </si>
  <si>
    <t>low-moderate</t>
  </si>
  <si>
    <t>lime</t>
  </si>
  <si>
    <t>Sandy grassland rotational grazing</t>
  </si>
  <si>
    <t>sandy_loam (Tenosol)</t>
  </si>
  <si>
    <t>rotational_grazing</t>
  </si>
  <si>
    <t>low_input</t>
  </si>
  <si>
    <t>moderate_intensity (6–10 DSE/ha)</t>
  </si>
  <si>
    <t>continuous_grazing</t>
  </si>
  <si>
    <t>Sandy soils with low SOC; improved grazing rotation introduced 2024</t>
  </si>
  <si>
    <t>dominant_management_regime</t>
  </si>
  <si>
    <t>NSW_DSM_v2.0_mean</t>
  </si>
  <si>
    <t>v2026.03</t>
  </si>
  <si>
    <t>Derived from NSW DSM v2.0 SOC stock (0–30 cm) for warm‑temperate moist sandy soils; suitable for improved grazing baseline</t>
  </si>
  <si>
    <t>PLOT_005</t>
  </si>
  <si>
    <t>PLOT_018</t>
  </si>
  <si>
    <t>PLOT_024</t>
  </si>
  <si>
    <t>SOCSAMP_001_0001</t>
  </si>
  <si>
    <t>SOCSAMP_001_0002</t>
  </si>
  <si>
    <t>SOCSAMP_001_0003</t>
  </si>
  <si>
    <t>SOCSAMP_002_0001</t>
  </si>
  <si>
    <t>SOCSAMP_002_0002</t>
  </si>
  <si>
    <t>SOCSAMP_002_0003</t>
  </si>
  <si>
    <t>SU_010</t>
  </si>
  <si>
    <t>SU_011</t>
  </si>
  <si>
    <t>SU_012</t>
  </si>
  <si>
    <t>SE</t>
  </si>
  <si>
    <t>E</t>
  </si>
  <si>
    <t>S</t>
  </si>
  <si>
    <t>Sandy Ridge</t>
  </si>
  <si>
    <t>Sandy Ridge South</t>
  </si>
  <si>
    <t>Sandy Ridge East</t>
  </si>
  <si>
    <t>Tenosol</t>
  </si>
  <si>
    <t>moderate_intensity</t>
  </si>
  <si>
    <t>moderate_intensity_rot</t>
  </si>
  <si>
    <t>Baseline plot; low-input continuous grazing, ~6–8 DSE/ha, sandy loam with low SOC.</t>
  </si>
  <si>
    <t>Baseline plot; similar stocking to PLOT_005, minor slope, erosion risk on bare patches.</t>
  </si>
  <si>
    <t>Project plot; rotational grazing introduced 2024, target &gt;80% groundcover, same soil/terrain as baseline.</t>
  </si>
  <si>
    <t>EVT_2023_01</t>
  </si>
  <si>
    <t>sandy_loam</t>
  </si>
  <si>
    <t>SOCSAMP_002_0004</t>
  </si>
  <si>
    <t>SOCSAMP_002_0005</t>
  </si>
  <si>
    <t>SOCSAMP_002_0006</t>
  </si>
  <si>
    <t>Baseline sample; continuous grazing; low SOC typical of sandy Tenosol.</t>
  </si>
  <si>
    <t>Baseline subsoil; low clay content; stable BD.</t>
  </si>
  <si>
    <t>Baseline sample; similar management to PLOT_005; slight slope.</t>
  </si>
  <si>
    <t>Baseline subsoil; consistent with Tenosol profile.</t>
  </si>
  <si>
    <t>Project sample; rotational grazing since 2024; improved groundcover.</t>
  </si>
  <si>
    <t>Project subsoil; early signs of SOC stabilization under improved management.</t>
  </si>
  <si>
    <t>all</t>
  </si>
  <si>
    <t>NSW_DPI_DPIRD_synthesis</t>
  </si>
  <si>
    <t>v1.0</t>
  </si>
  <si>
    <t>Baseline typical; conservative multipliers for sandy loam Tenosols; uncertainty ±20%.</t>
  </si>
  <si>
    <t>Improved grazing (rest periods, modest pasture improvement); uncertainty ±15%.</t>
  </si>
  <si>
    <t>Rotational grazing with multi‑paddock rest; apply only when documented rest periods and groundcover targets met; uncertainty ±15%.</t>
  </si>
  <si>
    <t>medium_high_input</t>
  </si>
  <si>
    <t>irrigated_seasonal</t>
  </si>
  <si>
    <t>USDA regional syntheses</t>
  </si>
  <si>
    <t>full inversion tillage with low residue retention reduces surface SOC and accelerates decomposition; apply conservative bounds (multiplier_low ≈ 0.75, multiplier_high ≈ 0.95). Ramp effect over 5 years to reflect gradual SOC decline under continued practice. Evidence: national/regional CSA reviews and tillage meta‑analyses.</t>
  </si>
  <si>
    <t>USDA / peer literature</t>
  </si>
  <si>
    <t>typical conventional tillage; moderate SOC loss risk relative to reduced‑till. Use lower bound for crediting; multiplier bounds ≈ 0.82–1.05. Ramp 5 years.</t>
  </si>
  <si>
    <t>UC Davis / peer studies</t>
  </si>
  <si>
    <t>reduced till combined with cover cropping can increase net ecosystem C balance, but effectiveness is site‑specific (soil texture, cover crop species, biomass). Use monitoring triggers (documented cover crop biomass, residue retention) before applying full multipliers; multiplier bounds ≈ 0.95–1.30. Ramp 7 years to reflect slower SOC accrual and interannual variability. Recent California studies show cover crop + reduced till benefits depend strongly on texture and local conditions.</t>
  </si>
  <si>
    <t>soc_impact</t>
  </si>
  <si>
    <t>moderate_impact</t>
  </si>
  <si>
    <t>low_impact</t>
  </si>
  <si>
    <t>slow_impact</t>
  </si>
  <si>
    <t>transition_period_years</t>
  </si>
  <si>
    <t>stock_tC_ha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</si>
</sst>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16EB-9819-4F3E-98A4-A51A5504F7C2}">
  <dimension ref="A1:O3"/>
  <sheetViews>
    <sheetView zoomScale="80" zoomScaleNormal="80" workbookViewId="0">
      <selection sqref="A1:XFD3"/>
    </sheetView>
  </sheetViews>
  <sheetFormatPr defaultColWidth="10.140625" defaultRowHeight="15" x14ac:dyDescent="0.25"/>
  <cols>
    <col min="1" max="1" width="10" bestFit="1" customWidth="1"/>
    <col min="2" max="2" width="34.140625" bestFit="1" customWidth="1"/>
    <col min="4" max="4" width="9" bestFit="1" customWidth="1"/>
    <col min="5" max="5" width="14.28515625" bestFit="1" customWidth="1"/>
    <col min="6" max="6" width="19.42578125" bestFit="1" customWidth="1"/>
    <col min="7" max="7" width="10.28515625" bestFit="1" customWidth="1"/>
    <col min="8" max="8" width="11.28515625" bestFit="1" customWidth="1"/>
    <col min="9" max="9" width="19.42578125" bestFit="1" customWidth="1"/>
    <col min="10" max="10" width="18.42578125" bestFit="1" customWidth="1"/>
    <col min="11" max="11" width="20.7109375" bestFit="1" customWidth="1"/>
    <col min="12" max="12" width="20" bestFit="1" customWidth="1"/>
    <col min="13" max="13" width="15.5703125" bestFit="1" customWidth="1"/>
    <col min="14" max="14" width="18.7109375" bestFit="1" customWidth="1"/>
    <col min="15" max="15" width="16.5703125" bestFit="1" customWidth="1"/>
  </cols>
  <sheetData>
    <row r="1" spans="1:15" s="2" customFormat="1" x14ac:dyDescent="0.25">
      <c r="A1" s="2" t="s">
        <v>1</v>
      </c>
      <c r="B1" s="2" t="s">
        <v>102</v>
      </c>
      <c r="C1" s="2" t="s">
        <v>138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139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  <c r="O1" s="2" t="s">
        <v>113</v>
      </c>
    </row>
    <row r="2" spans="1:15" x14ac:dyDescent="0.25">
      <c r="A2" t="s">
        <v>19</v>
      </c>
      <c r="B2" t="s">
        <v>114</v>
      </c>
      <c r="C2" t="s">
        <v>140</v>
      </c>
      <c r="D2" t="s">
        <v>115</v>
      </c>
      <c r="E2" t="s">
        <v>116</v>
      </c>
      <c r="F2" t="s">
        <v>117</v>
      </c>
      <c r="G2" s="1">
        <v>46023</v>
      </c>
      <c r="H2" s="1">
        <v>50040</v>
      </c>
      <c r="I2" s="1">
        <v>46023</v>
      </c>
      <c r="J2" s="1">
        <v>53327</v>
      </c>
      <c r="K2" s="1">
        <v>44197</v>
      </c>
      <c r="L2" s="1">
        <v>46022</v>
      </c>
      <c r="M2">
        <v>215.1</v>
      </c>
      <c r="N2" t="s">
        <v>49</v>
      </c>
      <c r="O2" t="s">
        <v>118</v>
      </c>
    </row>
    <row r="3" spans="1:15" x14ac:dyDescent="0.25">
      <c r="A3" t="s">
        <v>141</v>
      </c>
      <c r="B3" t="s">
        <v>142</v>
      </c>
      <c r="C3" t="s">
        <v>140</v>
      </c>
      <c r="D3" t="s">
        <v>143</v>
      </c>
      <c r="E3" t="s">
        <v>144</v>
      </c>
      <c r="F3" t="s">
        <v>117</v>
      </c>
      <c r="G3" s="1">
        <v>45292</v>
      </c>
      <c r="H3" s="1">
        <v>49309</v>
      </c>
      <c r="I3" s="1">
        <v>45292</v>
      </c>
      <c r="J3" s="1">
        <v>53327</v>
      </c>
      <c r="K3" s="1">
        <v>43101</v>
      </c>
      <c r="L3" s="1">
        <v>45291</v>
      </c>
      <c r="M3">
        <v>150.5</v>
      </c>
      <c r="N3" t="s">
        <v>132</v>
      </c>
      <c r="O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4330-5C3E-47D1-9E45-52FF37753E1F}">
  <dimension ref="A1:W5"/>
  <sheetViews>
    <sheetView zoomScale="80" zoomScaleNormal="80" workbookViewId="0">
      <selection sqref="A1:XFD5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5.5703125" bestFit="1" customWidth="1"/>
    <col min="4" max="4" width="15" bestFit="1" customWidth="1"/>
    <col min="5" max="5" width="20.5703125" bestFit="1" customWidth="1"/>
    <col min="6" max="6" width="12.85546875" bestFit="1" customWidth="1"/>
    <col min="7" max="7" width="13.42578125" bestFit="1" customWidth="1"/>
    <col min="8" max="8" width="19" bestFit="1" customWidth="1"/>
    <col min="9" max="9" width="15.28515625" bestFit="1" customWidth="1"/>
    <col min="10" max="10" width="13.85546875" bestFit="1" customWidth="1"/>
    <col min="11" max="11" width="12.42578125" bestFit="1" customWidth="1"/>
    <col min="12" max="12" width="18.28515625" bestFit="1" customWidth="1"/>
    <col min="13" max="13" width="17.7109375" bestFit="1" customWidth="1"/>
    <col min="14" max="14" width="16" bestFit="1" customWidth="1"/>
    <col min="15" max="15" width="20" bestFit="1" customWidth="1"/>
    <col min="16" max="16" width="13" bestFit="1" customWidth="1"/>
    <col min="17" max="17" width="13.7109375" bestFit="1" customWidth="1"/>
    <col min="18" max="18" width="22.28515625" bestFit="1" customWidth="1"/>
    <col min="19" max="19" width="16.85546875" bestFit="1" customWidth="1"/>
    <col min="20" max="20" width="20.5703125" bestFit="1" customWidth="1"/>
    <col min="21" max="21" width="16.28515625" bestFit="1" customWidth="1"/>
    <col min="22" max="22" width="11" bestFit="1" customWidth="1"/>
    <col min="23" max="23" width="13.5703125" bestFit="1" customWidth="1"/>
  </cols>
  <sheetData>
    <row r="1" spans="1:23" s="2" customFormat="1" x14ac:dyDescent="0.25">
      <c r="A1" s="2" t="s">
        <v>1</v>
      </c>
      <c r="B1" s="2" t="s">
        <v>2</v>
      </c>
      <c r="C1" s="2" t="s">
        <v>77</v>
      </c>
      <c r="D1" s="2" t="s">
        <v>37</v>
      </c>
      <c r="E1" s="2" t="s">
        <v>164</v>
      </c>
      <c r="F1" s="2" t="s">
        <v>62</v>
      </c>
      <c r="G1" s="2" t="s">
        <v>63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39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</row>
    <row r="2" spans="1:23" x14ac:dyDescent="0.25">
      <c r="A2" t="s">
        <v>19</v>
      </c>
      <c r="B2" t="s">
        <v>20</v>
      </c>
      <c r="C2">
        <v>2026</v>
      </c>
      <c r="D2" t="s">
        <v>49</v>
      </c>
      <c r="E2" t="s">
        <v>145</v>
      </c>
      <c r="F2" t="s">
        <v>146</v>
      </c>
      <c r="G2" t="s">
        <v>147</v>
      </c>
      <c r="H2" t="s">
        <v>93</v>
      </c>
      <c r="I2" t="b">
        <v>1</v>
      </c>
      <c r="J2" t="s">
        <v>94</v>
      </c>
      <c r="K2" t="s">
        <v>95</v>
      </c>
      <c r="L2">
        <v>85</v>
      </c>
      <c r="M2">
        <v>95</v>
      </c>
      <c r="N2">
        <v>0</v>
      </c>
      <c r="O2" t="b">
        <v>0</v>
      </c>
      <c r="P2" t="b">
        <v>1</v>
      </c>
      <c r="Q2">
        <v>320</v>
      </c>
      <c r="R2" t="s">
        <v>51</v>
      </c>
      <c r="S2" t="s">
        <v>96</v>
      </c>
      <c r="T2">
        <v>2.5</v>
      </c>
      <c r="U2">
        <v>0</v>
      </c>
      <c r="V2">
        <v>42</v>
      </c>
      <c r="W2">
        <v>3</v>
      </c>
    </row>
    <row r="3" spans="1:23" x14ac:dyDescent="0.25">
      <c r="A3" t="s">
        <v>19</v>
      </c>
      <c r="B3" t="s">
        <v>20</v>
      </c>
      <c r="C3">
        <v>2027</v>
      </c>
      <c r="D3" t="s">
        <v>49</v>
      </c>
      <c r="E3" t="s">
        <v>145</v>
      </c>
      <c r="F3" t="s">
        <v>146</v>
      </c>
      <c r="G3" t="s">
        <v>147</v>
      </c>
      <c r="H3" t="s">
        <v>97</v>
      </c>
      <c r="I3" t="b">
        <v>1</v>
      </c>
      <c r="J3" t="s">
        <v>94</v>
      </c>
      <c r="K3" t="s">
        <v>98</v>
      </c>
      <c r="L3">
        <v>90</v>
      </c>
      <c r="M3">
        <v>10</v>
      </c>
      <c r="N3">
        <v>0</v>
      </c>
      <c r="O3" t="b">
        <v>0</v>
      </c>
      <c r="P3" t="b">
        <v>1</v>
      </c>
      <c r="Q3">
        <v>210</v>
      </c>
      <c r="R3" t="s">
        <v>51</v>
      </c>
      <c r="S3" t="s">
        <v>96</v>
      </c>
      <c r="T3">
        <v>1.8</v>
      </c>
      <c r="U3">
        <v>0</v>
      </c>
      <c r="V3">
        <v>26</v>
      </c>
      <c r="W3">
        <v>2</v>
      </c>
    </row>
    <row r="4" spans="1:23" x14ac:dyDescent="0.25">
      <c r="A4" t="s">
        <v>19</v>
      </c>
      <c r="B4" t="s">
        <v>26</v>
      </c>
      <c r="C4">
        <v>2026</v>
      </c>
      <c r="D4" t="s">
        <v>49</v>
      </c>
      <c r="E4" t="s">
        <v>145</v>
      </c>
      <c r="F4" t="s">
        <v>146</v>
      </c>
      <c r="G4" t="s">
        <v>147</v>
      </c>
      <c r="H4" t="s">
        <v>99</v>
      </c>
      <c r="I4" t="b">
        <v>0</v>
      </c>
      <c r="J4" t="s">
        <v>100</v>
      </c>
      <c r="K4" t="s">
        <v>101</v>
      </c>
      <c r="L4">
        <v>35</v>
      </c>
      <c r="M4">
        <v>120</v>
      </c>
      <c r="N4">
        <v>0</v>
      </c>
      <c r="O4" t="b">
        <v>0</v>
      </c>
      <c r="P4" t="b">
        <v>0</v>
      </c>
      <c r="Q4">
        <v>0</v>
      </c>
      <c r="R4" t="s">
        <v>51</v>
      </c>
      <c r="S4" t="s">
        <v>51</v>
      </c>
      <c r="T4">
        <v>0</v>
      </c>
      <c r="U4">
        <v>0</v>
      </c>
      <c r="V4">
        <v>58</v>
      </c>
      <c r="W4">
        <v>6</v>
      </c>
    </row>
    <row r="5" spans="1:23" x14ac:dyDescent="0.25">
      <c r="A5" t="s">
        <v>141</v>
      </c>
      <c r="B5" t="s">
        <v>20</v>
      </c>
      <c r="C5">
        <v>2024</v>
      </c>
      <c r="D5" t="s">
        <v>132</v>
      </c>
      <c r="E5" t="s">
        <v>133</v>
      </c>
      <c r="F5" t="s">
        <v>148</v>
      </c>
      <c r="G5" t="s">
        <v>147</v>
      </c>
      <c r="H5" t="s">
        <v>153</v>
      </c>
      <c r="I5" t="b">
        <v>0</v>
      </c>
      <c r="J5" t="s">
        <v>154</v>
      </c>
      <c r="K5" t="s">
        <v>98</v>
      </c>
      <c r="L5">
        <v>90</v>
      </c>
      <c r="M5">
        <v>60</v>
      </c>
      <c r="N5">
        <v>30</v>
      </c>
      <c r="O5" t="b">
        <v>0</v>
      </c>
      <c r="P5" t="b">
        <v>0</v>
      </c>
      <c r="Q5">
        <v>0</v>
      </c>
      <c r="R5" t="s">
        <v>155</v>
      </c>
      <c r="S5" t="s">
        <v>156</v>
      </c>
      <c r="T5">
        <v>1.25</v>
      </c>
      <c r="U5">
        <v>0</v>
      </c>
      <c r="V5">
        <v>10</v>
      </c>
      <c r="W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688D-080C-43B4-9CE8-9517B8587250}">
  <dimension ref="A1:V6"/>
  <sheetViews>
    <sheetView zoomScale="80" zoomScaleNormal="80" workbookViewId="0">
      <selection sqref="A1:XFD6"/>
    </sheetView>
  </sheetViews>
  <sheetFormatPr defaultRowHeight="15" x14ac:dyDescent="0.25"/>
  <cols>
    <col min="1" max="1" width="9.5703125" bestFit="1" customWidth="1"/>
    <col min="2" max="2" width="10" bestFit="1" customWidth="1"/>
    <col min="3" max="3" width="10.85546875" bestFit="1" customWidth="1"/>
    <col min="4" max="4" width="16.42578125" bestFit="1" customWidth="1"/>
    <col min="5" max="5" width="8.85546875" bestFit="1" customWidth="1"/>
    <col min="6" max="6" width="10" bestFit="1" customWidth="1"/>
    <col min="7" max="7" width="12" bestFit="1" customWidth="1"/>
    <col min="8" max="8" width="9.85546875" bestFit="1" customWidth="1"/>
    <col min="9" max="9" width="11.42578125" bestFit="1" customWidth="1"/>
    <col min="10" max="10" width="7.28515625" bestFit="1" customWidth="1"/>
    <col min="11" max="11" width="17.28515625" bestFit="1" customWidth="1"/>
    <col min="12" max="12" width="16.28515625" bestFit="1" customWidth="1"/>
    <col min="13" max="13" width="23.5703125" bestFit="1" customWidth="1"/>
    <col min="14" max="14" width="22.140625" bestFit="1" customWidth="1"/>
    <col min="15" max="15" width="15" bestFit="1" customWidth="1"/>
    <col min="16" max="16" width="22.42578125" bestFit="1" customWidth="1"/>
    <col min="17" max="17" width="13" bestFit="1" customWidth="1"/>
    <col min="18" max="18" width="21.7109375" bestFit="1" customWidth="1"/>
    <col min="19" max="19" width="16.5703125" bestFit="1" customWidth="1"/>
    <col min="20" max="20" width="19.140625" bestFit="1" customWidth="1"/>
    <col min="21" max="21" width="19" bestFit="1" customWidth="1"/>
    <col min="22" max="22" width="44.140625" customWidth="1"/>
  </cols>
  <sheetData>
    <row r="1" spans="1:22" s="2" customFormat="1" x14ac:dyDescent="0.25">
      <c r="A1" s="2" t="s">
        <v>3</v>
      </c>
      <c r="B1" s="2" t="s">
        <v>1</v>
      </c>
      <c r="C1" s="2" t="s">
        <v>2</v>
      </c>
      <c r="D1" s="2" t="s">
        <v>29</v>
      </c>
      <c r="E1" s="2" t="s">
        <v>15</v>
      </c>
      <c r="F1" s="2" t="s">
        <v>16</v>
      </c>
      <c r="G1" s="2" t="s">
        <v>30</v>
      </c>
      <c r="H1" s="2" t="s">
        <v>31</v>
      </c>
      <c r="I1" s="2" t="s">
        <v>32</v>
      </c>
      <c r="J1" s="2" t="s">
        <v>150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18</v>
      </c>
    </row>
    <row r="2" spans="1:22" x14ac:dyDescent="0.25">
      <c r="A2" t="s">
        <v>21</v>
      </c>
      <c r="B2" t="s">
        <v>19</v>
      </c>
      <c r="C2" t="s">
        <v>20</v>
      </c>
      <c r="D2" t="s">
        <v>44</v>
      </c>
      <c r="E2" s="3">
        <v>34.122999999999998</v>
      </c>
      <c r="F2" s="3">
        <v>-118.321</v>
      </c>
      <c r="G2">
        <v>415</v>
      </c>
      <c r="H2">
        <v>3</v>
      </c>
      <c r="I2">
        <v>175</v>
      </c>
      <c r="J2" t="s">
        <v>151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b">
        <v>1</v>
      </c>
      <c r="R2" t="s">
        <v>51</v>
      </c>
      <c r="S2" t="b">
        <v>0</v>
      </c>
      <c r="T2">
        <v>2025</v>
      </c>
      <c r="U2" t="s">
        <v>52</v>
      </c>
    </row>
    <row r="3" spans="1:22" x14ac:dyDescent="0.25">
      <c r="A3" t="s">
        <v>27</v>
      </c>
      <c r="B3" t="s">
        <v>19</v>
      </c>
      <c r="C3" t="s">
        <v>26</v>
      </c>
      <c r="D3" t="s">
        <v>53</v>
      </c>
      <c r="E3" s="3">
        <v>34.127000000000002</v>
      </c>
      <c r="F3" s="3">
        <v>-118.355</v>
      </c>
      <c r="G3">
        <v>402</v>
      </c>
      <c r="H3">
        <v>1</v>
      </c>
      <c r="I3">
        <v>210</v>
      </c>
      <c r="J3" t="s">
        <v>152</v>
      </c>
      <c r="K3" t="s">
        <v>54</v>
      </c>
      <c r="L3" t="s">
        <v>55</v>
      </c>
      <c r="M3" t="s">
        <v>56</v>
      </c>
      <c r="N3" t="s">
        <v>48</v>
      </c>
      <c r="O3" t="s">
        <v>49</v>
      </c>
      <c r="P3" t="s">
        <v>57</v>
      </c>
      <c r="Q3" t="b">
        <v>0</v>
      </c>
      <c r="R3" t="s">
        <v>51</v>
      </c>
      <c r="S3" t="b">
        <v>0</v>
      </c>
      <c r="T3">
        <v>2018</v>
      </c>
      <c r="U3" t="s">
        <v>58</v>
      </c>
    </row>
    <row r="4" spans="1:22" x14ac:dyDescent="0.25">
      <c r="A4" t="s">
        <v>168</v>
      </c>
      <c r="B4" t="s">
        <v>141</v>
      </c>
      <c r="C4" t="s">
        <v>20</v>
      </c>
      <c r="D4" t="s">
        <v>177</v>
      </c>
      <c r="E4" s="3">
        <v>-31.5</v>
      </c>
      <c r="F4" s="3">
        <v>151.5</v>
      </c>
      <c r="G4">
        <v>420</v>
      </c>
      <c r="H4">
        <v>4</v>
      </c>
      <c r="I4">
        <v>135</v>
      </c>
      <c r="J4" t="s">
        <v>180</v>
      </c>
      <c r="K4" t="s">
        <v>183</v>
      </c>
      <c r="L4" t="s">
        <v>186</v>
      </c>
      <c r="M4" t="s">
        <v>47</v>
      </c>
      <c r="N4" t="s">
        <v>149</v>
      </c>
      <c r="O4" t="s">
        <v>132</v>
      </c>
      <c r="P4" t="s">
        <v>162</v>
      </c>
      <c r="Q4" t="b">
        <v>0</v>
      </c>
      <c r="R4" t="s">
        <v>187</v>
      </c>
      <c r="S4" t="b">
        <v>0</v>
      </c>
      <c r="T4">
        <v>2015</v>
      </c>
      <c r="U4" t="s">
        <v>58</v>
      </c>
      <c r="V4" s="4" t="s">
        <v>189</v>
      </c>
    </row>
    <row r="5" spans="1:22" x14ac:dyDescent="0.25">
      <c r="A5" t="s">
        <v>169</v>
      </c>
      <c r="B5" t="s">
        <v>141</v>
      </c>
      <c r="C5" t="s">
        <v>20</v>
      </c>
      <c r="D5" t="s">
        <v>178</v>
      </c>
      <c r="E5" s="3">
        <v>-31.502500000000001</v>
      </c>
      <c r="F5" s="3">
        <v>151.50299999999999</v>
      </c>
      <c r="G5">
        <v>430</v>
      </c>
      <c r="H5">
        <v>6</v>
      </c>
      <c r="I5">
        <v>190</v>
      </c>
      <c r="J5" t="s">
        <v>182</v>
      </c>
      <c r="K5" t="s">
        <v>184</v>
      </c>
      <c r="L5" t="s">
        <v>186</v>
      </c>
      <c r="M5" t="s">
        <v>47</v>
      </c>
      <c r="N5" t="s">
        <v>149</v>
      </c>
      <c r="O5" t="s">
        <v>132</v>
      </c>
      <c r="P5" t="s">
        <v>162</v>
      </c>
      <c r="Q5" t="b">
        <v>0</v>
      </c>
      <c r="R5" t="s">
        <v>187</v>
      </c>
      <c r="S5" t="b">
        <v>0</v>
      </c>
      <c r="T5">
        <v>2015</v>
      </c>
      <c r="U5" t="s">
        <v>58</v>
      </c>
      <c r="V5" t="s">
        <v>190</v>
      </c>
    </row>
    <row r="6" spans="1:22" x14ac:dyDescent="0.25">
      <c r="A6" t="s">
        <v>170</v>
      </c>
      <c r="B6" t="s">
        <v>141</v>
      </c>
      <c r="C6" t="s">
        <v>20</v>
      </c>
      <c r="D6" t="s">
        <v>179</v>
      </c>
      <c r="E6" s="3">
        <v>-31.498000000000001</v>
      </c>
      <c r="F6" s="3">
        <v>151.49700000000001</v>
      </c>
      <c r="G6">
        <v>415</v>
      </c>
      <c r="H6">
        <v>3</v>
      </c>
      <c r="I6">
        <v>80</v>
      </c>
      <c r="J6" t="s">
        <v>181</v>
      </c>
      <c r="K6" t="s">
        <v>185</v>
      </c>
      <c r="L6" t="s">
        <v>186</v>
      </c>
      <c r="M6" t="s">
        <v>47</v>
      </c>
      <c r="N6" t="s">
        <v>149</v>
      </c>
      <c r="O6" t="s">
        <v>132</v>
      </c>
      <c r="P6" t="s">
        <v>159</v>
      </c>
      <c r="Q6" t="b">
        <v>0</v>
      </c>
      <c r="R6" t="s">
        <v>188</v>
      </c>
      <c r="S6" t="b">
        <v>0</v>
      </c>
      <c r="T6">
        <v>2024</v>
      </c>
      <c r="U6" t="s">
        <v>52</v>
      </c>
      <c r="V6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976-3301-46F5-8F27-BB8101CB647C}">
  <dimension ref="A1:G5"/>
  <sheetViews>
    <sheetView zoomScale="80" zoomScaleNormal="80" workbookViewId="0">
      <selection activeCell="G29" sqref="G29"/>
    </sheetView>
  </sheetViews>
  <sheetFormatPr defaultColWidth="22.28515625" defaultRowHeight="15" x14ac:dyDescent="0.25"/>
  <cols>
    <col min="1" max="1" width="22.140625" bestFit="1" customWidth="1"/>
    <col min="2" max="2" width="20.85546875" bestFit="1" customWidth="1"/>
    <col min="3" max="3" width="15.85546875" bestFit="1" customWidth="1"/>
    <col min="4" max="4" width="13.85546875" bestFit="1" customWidth="1"/>
    <col min="5" max="5" width="21" bestFit="1" customWidth="1"/>
    <col min="6" max="6" width="9.140625" bestFit="1" customWidth="1"/>
    <col min="7" max="7" width="114.7109375" bestFit="1" customWidth="1"/>
  </cols>
  <sheetData>
    <row r="1" spans="1:7" s="2" customFormat="1" x14ac:dyDescent="0.25">
      <c r="A1" s="2" t="s">
        <v>36</v>
      </c>
      <c r="B1" s="2" t="s">
        <v>61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18</v>
      </c>
    </row>
    <row r="2" spans="1:7" x14ac:dyDescent="0.25">
      <c r="A2" t="s">
        <v>48</v>
      </c>
      <c r="B2" t="s">
        <v>70</v>
      </c>
      <c r="C2">
        <v>30</v>
      </c>
      <c r="D2">
        <v>38</v>
      </c>
      <c r="E2" t="s">
        <v>123</v>
      </c>
      <c r="F2" t="s">
        <v>166</v>
      </c>
      <c r="G2" t="s">
        <v>124</v>
      </c>
    </row>
    <row r="3" spans="1:7" x14ac:dyDescent="0.25">
      <c r="A3" t="s">
        <v>48</v>
      </c>
      <c r="B3" t="s">
        <v>75</v>
      </c>
      <c r="C3">
        <v>30</v>
      </c>
      <c r="D3">
        <v>46</v>
      </c>
      <c r="E3" t="s">
        <v>123</v>
      </c>
      <c r="F3" t="s">
        <v>166</v>
      </c>
      <c r="G3" t="s">
        <v>124</v>
      </c>
    </row>
    <row r="4" spans="1:7" x14ac:dyDescent="0.25">
      <c r="A4" t="s">
        <v>125</v>
      </c>
      <c r="B4" t="s">
        <v>70</v>
      </c>
      <c r="C4">
        <v>30</v>
      </c>
      <c r="D4">
        <v>62</v>
      </c>
      <c r="E4" t="s">
        <v>123</v>
      </c>
      <c r="F4" t="s">
        <v>166</v>
      </c>
      <c r="G4" t="s">
        <v>124</v>
      </c>
    </row>
    <row r="5" spans="1:7" x14ac:dyDescent="0.25">
      <c r="A5" t="s">
        <v>149</v>
      </c>
      <c r="B5" t="s">
        <v>158</v>
      </c>
      <c r="C5">
        <v>30</v>
      </c>
      <c r="D5">
        <v>48</v>
      </c>
      <c r="E5" t="s">
        <v>165</v>
      </c>
      <c r="F5" t="s">
        <v>166</v>
      </c>
      <c r="G5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EEC4-1B47-4A4C-AFB2-5EDCA6AA40D8}">
  <dimension ref="A1:S10"/>
  <sheetViews>
    <sheetView zoomScale="80" zoomScaleNormal="80" workbookViewId="0">
      <selection sqref="A1:S10"/>
    </sheetView>
  </sheetViews>
  <sheetFormatPr defaultRowHeight="15" x14ac:dyDescent="0.25"/>
  <cols>
    <col min="1" max="1" width="19.5703125" bestFit="1" customWidth="1"/>
    <col min="2" max="2" width="10" bestFit="1" customWidth="1"/>
    <col min="3" max="3" width="10.5703125" bestFit="1" customWidth="1"/>
    <col min="4" max="4" width="9.5703125" bestFit="1" customWidth="1"/>
    <col min="5" max="5" width="15.85546875" bestFit="1" customWidth="1"/>
    <col min="6" max="6" width="12.28515625" bestFit="1" customWidth="1"/>
    <col min="7" max="7" width="13.5703125" bestFit="1" customWidth="1"/>
    <col min="8" max="8" width="17.140625" bestFit="1" customWidth="1"/>
    <col min="9" max="9" width="12" bestFit="1" customWidth="1"/>
    <col min="10" max="10" width="18.7109375" bestFit="1" customWidth="1"/>
    <col min="11" max="11" width="23.85546875" bestFit="1" customWidth="1"/>
    <col min="12" max="12" width="16.7109375" bestFit="1" customWidth="1"/>
    <col min="13" max="13" width="4.42578125" bestFit="1" customWidth="1"/>
    <col min="14" max="14" width="12.85546875" bestFit="1" customWidth="1"/>
    <col min="15" max="15" width="15.28515625" bestFit="1" customWidth="1"/>
    <col min="16" max="16" width="8" bestFit="1" customWidth="1"/>
    <col min="17" max="17" width="9.42578125" bestFit="1" customWidth="1"/>
    <col min="18" max="18" width="9.5703125" bestFit="1" customWidth="1"/>
    <col min="19" max="19" width="6" bestFit="1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171</v>
      </c>
      <c r="B2" t="s">
        <v>19</v>
      </c>
      <c r="C2" t="s">
        <v>20</v>
      </c>
      <c r="D2" t="s">
        <v>21</v>
      </c>
      <c r="E2" t="s">
        <v>22</v>
      </c>
      <c r="F2" s="1">
        <v>46127</v>
      </c>
      <c r="G2">
        <v>0</v>
      </c>
      <c r="H2">
        <v>10</v>
      </c>
      <c r="I2">
        <v>1.85</v>
      </c>
      <c r="J2">
        <v>1.28</v>
      </c>
      <c r="K2">
        <v>0.05</v>
      </c>
      <c r="L2">
        <v>18.2</v>
      </c>
      <c r="M2">
        <v>6.4</v>
      </c>
      <c r="N2" t="s">
        <v>23</v>
      </c>
      <c r="O2" t="s">
        <v>24</v>
      </c>
      <c r="P2">
        <v>34.122999999999998</v>
      </c>
      <c r="Q2">
        <v>-118.321</v>
      </c>
      <c r="R2" t="s">
        <v>25</v>
      </c>
    </row>
    <row r="3" spans="1:19" x14ac:dyDescent="0.25">
      <c r="A3" t="s">
        <v>172</v>
      </c>
      <c r="B3" t="s">
        <v>19</v>
      </c>
      <c r="C3" t="s">
        <v>20</v>
      </c>
      <c r="D3" t="s">
        <v>21</v>
      </c>
      <c r="E3" t="s">
        <v>22</v>
      </c>
      <c r="F3" s="1">
        <v>46127</v>
      </c>
      <c r="G3">
        <v>10</v>
      </c>
      <c r="H3">
        <v>30</v>
      </c>
      <c r="I3">
        <v>1.22</v>
      </c>
      <c r="J3">
        <v>1.36</v>
      </c>
      <c r="K3">
        <v>0.08</v>
      </c>
      <c r="L3">
        <v>20.5</v>
      </c>
      <c r="M3">
        <v>6.3</v>
      </c>
      <c r="N3" t="s">
        <v>23</v>
      </c>
      <c r="O3" t="s">
        <v>24</v>
      </c>
      <c r="P3">
        <v>34.122999999999998</v>
      </c>
      <c r="Q3">
        <v>-118.321</v>
      </c>
      <c r="R3" t="s">
        <v>25</v>
      </c>
    </row>
    <row r="4" spans="1:19" x14ac:dyDescent="0.25">
      <c r="A4" t="s">
        <v>173</v>
      </c>
      <c r="B4" t="s">
        <v>19</v>
      </c>
      <c r="C4" t="s">
        <v>26</v>
      </c>
      <c r="D4" t="s">
        <v>27</v>
      </c>
      <c r="E4" t="s">
        <v>22</v>
      </c>
      <c r="F4" s="1">
        <v>46129</v>
      </c>
      <c r="G4">
        <v>0</v>
      </c>
      <c r="H4">
        <v>10</v>
      </c>
      <c r="I4">
        <v>2.1</v>
      </c>
      <c r="J4">
        <v>1.1100000000000001</v>
      </c>
      <c r="K4">
        <v>0.02</v>
      </c>
      <c r="L4">
        <v>22</v>
      </c>
      <c r="M4">
        <v>6.8</v>
      </c>
      <c r="N4" t="s">
        <v>28</v>
      </c>
      <c r="O4" t="s">
        <v>24</v>
      </c>
      <c r="P4">
        <v>34.127000000000002</v>
      </c>
      <c r="Q4">
        <v>-118.355</v>
      </c>
      <c r="R4" t="s">
        <v>25</v>
      </c>
    </row>
    <row r="5" spans="1:19" x14ac:dyDescent="0.25">
      <c r="A5" t="s">
        <v>174</v>
      </c>
      <c r="B5" t="s">
        <v>141</v>
      </c>
      <c r="C5" t="s">
        <v>20</v>
      </c>
      <c r="D5" t="s">
        <v>168</v>
      </c>
      <c r="E5" t="s">
        <v>192</v>
      </c>
      <c r="F5" s="1">
        <v>45181</v>
      </c>
      <c r="G5">
        <v>0</v>
      </c>
      <c r="H5">
        <v>10</v>
      </c>
      <c r="I5">
        <v>1.1000000000000001</v>
      </c>
      <c r="J5">
        <v>1.48</v>
      </c>
      <c r="K5">
        <v>0.06</v>
      </c>
      <c r="L5">
        <v>17.5</v>
      </c>
      <c r="M5">
        <v>5.9</v>
      </c>
      <c r="N5" t="s">
        <v>193</v>
      </c>
      <c r="O5" t="s">
        <v>24</v>
      </c>
      <c r="P5">
        <v>-31.5</v>
      </c>
      <c r="Q5">
        <v>151.5</v>
      </c>
      <c r="R5" t="s">
        <v>25</v>
      </c>
      <c r="S5" t="s">
        <v>197</v>
      </c>
    </row>
    <row r="6" spans="1:19" x14ac:dyDescent="0.25">
      <c r="A6" t="s">
        <v>175</v>
      </c>
      <c r="B6" t="s">
        <v>141</v>
      </c>
      <c r="C6" t="s">
        <v>20</v>
      </c>
      <c r="D6" t="s">
        <v>168</v>
      </c>
      <c r="E6" t="s">
        <v>192</v>
      </c>
      <c r="F6" s="1">
        <v>45181</v>
      </c>
      <c r="G6">
        <v>10</v>
      </c>
      <c r="H6">
        <v>30</v>
      </c>
      <c r="I6">
        <v>0.55000000000000004</v>
      </c>
      <c r="J6">
        <v>1.52</v>
      </c>
      <c r="K6">
        <v>0.08</v>
      </c>
      <c r="L6">
        <v>19</v>
      </c>
      <c r="M6">
        <v>6</v>
      </c>
      <c r="N6" t="s">
        <v>193</v>
      </c>
      <c r="O6" t="s">
        <v>24</v>
      </c>
      <c r="P6">
        <v>-31.5</v>
      </c>
      <c r="Q6">
        <v>151.5</v>
      </c>
      <c r="R6" t="s">
        <v>25</v>
      </c>
      <c r="S6" t="s">
        <v>198</v>
      </c>
    </row>
    <row r="7" spans="1:19" x14ac:dyDescent="0.25">
      <c r="A7" t="s">
        <v>176</v>
      </c>
      <c r="B7" t="s">
        <v>141</v>
      </c>
      <c r="C7" t="s">
        <v>20</v>
      </c>
      <c r="D7" t="s">
        <v>169</v>
      </c>
      <c r="E7" t="s">
        <v>192</v>
      </c>
      <c r="F7" s="1">
        <v>45182</v>
      </c>
      <c r="G7">
        <v>0</v>
      </c>
      <c r="H7">
        <v>10</v>
      </c>
      <c r="I7">
        <v>1.25</v>
      </c>
      <c r="J7">
        <v>1.46</v>
      </c>
      <c r="K7">
        <v>0.05</v>
      </c>
      <c r="L7">
        <v>18.8</v>
      </c>
      <c r="M7">
        <v>5.8</v>
      </c>
      <c r="N7" t="s">
        <v>193</v>
      </c>
      <c r="O7" t="s">
        <v>24</v>
      </c>
      <c r="P7">
        <v>-31.502500000000001</v>
      </c>
      <c r="Q7">
        <v>151.50299999999999</v>
      </c>
      <c r="R7" t="s">
        <v>25</v>
      </c>
      <c r="S7" t="s">
        <v>199</v>
      </c>
    </row>
    <row r="8" spans="1:19" x14ac:dyDescent="0.25">
      <c r="A8" t="s">
        <v>194</v>
      </c>
      <c r="B8" t="s">
        <v>141</v>
      </c>
      <c r="C8" t="s">
        <v>20</v>
      </c>
      <c r="D8" t="s">
        <v>169</v>
      </c>
      <c r="E8" t="s">
        <v>192</v>
      </c>
      <c r="F8" s="1">
        <v>45182</v>
      </c>
      <c r="G8">
        <v>10</v>
      </c>
      <c r="H8">
        <v>30</v>
      </c>
      <c r="I8">
        <v>0.6</v>
      </c>
      <c r="J8">
        <v>1.5</v>
      </c>
      <c r="K8">
        <v>7.0000000000000007E-2</v>
      </c>
      <c r="L8">
        <v>20.100000000000001</v>
      </c>
      <c r="M8">
        <v>5.9</v>
      </c>
      <c r="N8" t="s">
        <v>193</v>
      </c>
      <c r="O8" t="s">
        <v>24</v>
      </c>
      <c r="P8">
        <v>-31.502500000000001</v>
      </c>
      <c r="Q8">
        <v>151.50299999999999</v>
      </c>
      <c r="R8" t="s">
        <v>25</v>
      </c>
      <c r="S8" t="s">
        <v>200</v>
      </c>
    </row>
    <row r="9" spans="1:19" x14ac:dyDescent="0.25">
      <c r="A9" t="s">
        <v>195</v>
      </c>
      <c r="B9" t="s">
        <v>141</v>
      </c>
      <c r="C9" t="s">
        <v>20</v>
      </c>
      <c r="D9" t="s">
        <v>170</v>
      </c>
      <c r="E9" t="s">
        <v>22</v>
      </c>
      <c r="F9" s="1">
        <v>46132</v>
      </c>
      <c r="G9">
        <v>0</v>
      </c>
      <c r="H9">
        <v>10</v>
      </c>
      <c r="I9">
        <v>1.65</v>
      </c>
      <c r="J9">
        <v>1.42</v>
      </c>
      <c r="K9">
        <v>0.04</v>
      </c>
      <c r="L9">
        <v>21</v>
      </c>
      <c r="M9">
        <v>6.2</v>
      </c>
      <c r="N9" t="s">
        <v>193</v>
      </c>
      <c r="O9" t="s">
        <v>24</v>
      </c>
      <c r="P9">
        <v>-31.498000000000001</v>
      </c>
      <c r="Q9">
        <v>151.49700000000001</v>
      </c>
      <c r="R9" t="s">
        <v>25</v>
      </c>
      <c r="S9" t="s">
        <v>201</v>
      </c>
    </row>
    <row r="10" spans="1:19" x14ac:dyDescent="0.25">
      <c r="A10" t="s">
        <v>196</v>
      </c>
      <c r="B10" t="s">
        <v>141</v>
      </c>
      <c r="C10" t="s">
        <v>20</v>
      </c>
      <c r="D10" t="s">
        <v>170</v>
      </c>
      <c r="E10" t="s">
        <v>22</v>
      </c>
      <c r="F10" s="1">
        <v>46132</v>
      </c>
      <c r="G10">
        <v>10</v>
      </c>
      <c r="H10">
        <v>30</v>
      </c>
      <c r="I10">
        <v>0.95</v>
      </c>
      <c r="J10">
        <v>1.47</v>
      </c>
      <c r="K10">
        <v>0.06</v>
      </c>
      <c r="L10">
        <v>22.3</v>
      </c>
      <c r="M10">
        <v>6.1</v>
      </c>
      <c r="N10" t="s">
        <v>193</v>
      </c>
      <c r="O10" t="s">
        <v>24</v>
      </c>
      <c r="P10">
        <v>-31.498000000000001</v>
      </c>
      <c r="Q10">
        <v>151.49700000000001</v>
      </c>
      <c r="R10" t="s">
        <v>25</v>
      </c>
      <c r="S10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6E13-BA06-4F43-9BFB-FE354E4A58FA}">
  <dimension ref="A1:K14"/>
  <sheetViews>
    <sheetView zoomScale="80" zoomScaleNormal="80" workbookViewId="0">
      <selection activeCell="D24" sqref="D24"/>
    </sheetView>
  </sheetViews>
  <sheetFormatPr defaultRowHeight="15" x14ac:dyDescent="0.25"/>
  <cols>
    <col min="1" max="1" width="22.140625" bestFit="1" customWidth="1"/>
    <col min="2" max="2" width="15" bestFit="1" customWidth="1"/>
    <col min="3" max="4" width="22.42578125" bestFit="1" customWidth="1"/>
    <col min="5" max="5" width="17.7109375" bestFit="1" customWidth="1"/>
    <col min="6" max="6" width="13" bestFit="1" customWidth="1"/>
    <col min="7" max="7" width="7.7109375" bestFit="1" customWidth="1"/>
    <col min="8" max="8" width="5.5703125" bestFit="1" customWidth="1"/>
    <col min="9" max="10" width="12.42578125" bestFit="1" customWidth="1"/>
    <col min="11" max="12" width="22.5703125" bestFit="1" customWidth="1"/>
  </cols>
  <sheetData>
    <row r="1" spans="1:11" s="2" customFormat="1" x14ac:dyDescent="0.25">
      <c r="A1" s="2" t="s">
        <v>36</v>
      </c>
      <c r="B1" s="2" t="s">
        <v>37</v>
      </c>
      <c r="C1" s="2" t="s">
        <v>38</v>
      </c>
      <c r="D1" s="2" t="s">
        <v>62</v>
      </c>
      <c r="E1" s="2" t="s">
        <v>63</v>
      </c>
      <c r="F1" s="2" t="s">
        <v>126</v>
      </c>
      <c r="G1" s="2" t="s">
        <v>127</v>
      </c>
      <c r="H1" s="2" t="s">
        <v>128</v>
      </c>
      <c r="I1" s="2" t="s">
        <v>121</v>
      </c>
      <c r="J1" s="2" t="s">
        <v>122</v>
      </c>
      <c r="K1" s="2" t="s">
        <v>18</v>
      </c>
    </row>
    <row r="2" spans="1:11" x14ac:dyDescent="0.25">
      <c r="A2" t="s">
        <v>203</v>
      </c>
      <c r="B2" t="s">
        <v>49</v>
      </c>
      <c r="C2" t="s">
        <v>57</v>
      </c>
      <c r="D2" t="s">
        <v>71</v>
      </c>
      <c r="E2" t="s">
        <v>76</v>
      </c>
      <c r="F2">
        <v>0.8</v>
      </c>
      <c r="G2">
        <v>1</v>
      </c>
      <c r="H2">
        <v>1</v>
      </c>
      <c r="I2" t="s">
        <v>129</v>
      </c>
      <c r="J2" t="s">
        <v>205</v>
      </c>
    </row>
    <row r="3" spans="1:11" x14ac:dyDescent="0.25">
      <c r="A3" t="s">
        <v>203</v>
      </c>
      <c r="B3" t="s">
        <v>49</v>
      </c>
      <c r="C3" t="s">
        <v>50</v>
      </c>
      <c r="D3" t="s">
        <v>71</v>
      </c>
      <c r="E3" t="s">
        <v>72</v>
      </c>
      <c r="F3">
        <v>0.8</v>
      </c>
      <c r="G3">
        <v>1.08</v>
      </c>
      <c r="H3">
        <v>1.1100000000000001</v>
      </c>
      <c r="I3" t="s">
        <v>129</v>
      </c>
      <c r="J3" t="s">
        <v>205</v>
      </c>
    </row>
    <row r="4" spans="1:11" x14ac:dyDescent="0.25">
      <c r="A4" t="s">
        <v>203</v>
      </c>
      <c r="B4" t="s">
        <v>49</v>
      </c>
      <c r="C4" t="s">
        <v>130</v>
      </c>
      <c r="D4" t="s">
        <v>131</v>
      </c>
      <c r="E4" t="s">
        <v>72</v>
      </c>
      <c r="F4">
        <v>0.8</v>
      </c>
      <c r="G4">
        <v>1.1499999999999999</v>
      </c>
      <c r="H4">
        <v>1.2</v>
      </c>
      <c r="I4" t="s">
        <v>129</v>
      </c>
      <c r="J4" t="s">
        <v>205</v>
      </c>
    </row>
    <row r="5" spans="1:11" x14ac:dyDescent="0.25">
      <c r="A5" t="s">
        <v>203</v>
      </c>
      <c r="B5" t="s">
        <v>132</v>
      </c>
      <c r="C5" t="s">
        <v>133</v>
      </c>
      <c r="D5" t="s">
        <v>71</v>
      </c>
      <c r="E5" t="s">
        <v>76</v>
      </c>
      <c r="F5">
        <v>1</v>
      </c>
      <c r="G5">
        <v>1.1000000000000001</v>
      </c>
      <c r="H5">
        <v>1.05</v>
      </c>
      <c r="I5" t="s">
        <v>129</v>
      </c>
      <c r="J5" t="s">
        <v>205</v>
      </c>
    </row>
    <row r="6" spans="1:11" x14ac:dyDescent="0.25">
      <c r="A6" t="s">
        <v>203</v>
      </c>
      <c r="B6" t="s">
        <v>134</v>
      </c>
      <c r="C6" t="s">
        <v>135</v>
      </c>
      <c r="D6" t="s">
        <v>71</v>
      </c>
      <c r="E6" t="s">
        <v>72</v>
      </c>
      <c r="F6">
        <v>1.1000000000000001</v>
      </c>
      <c r="G6">
        <v>1.08</v>
      </c>
      <c r="H6">
        <v>1.1499999999999999</v>
      </c>
      <c r="I6" t="s">
        <v>136</v>
      </c>
      <c r="J6" t="s">
        <v>205</v>
      </c>
      <c r="K6" t="s">
        <v>137</v>
      </c>
    </row>
    <row r="7" spans="1:11" x14ac:dyDescent="0.25">
      <c r="A7" s="7" t="s">
        <v>203</v>
      </c>
      <c r="B7" s="7" t="s">
        <v>132</v>
      </c>
      <c r="C7" s="7" t="s">
        <v>159</v>
      </c>
      <c r="D7" t="s">
        <v>160</v>
      </c>
      <c r="E7" t="s">
        <v>147</v>
      </c>
      <c r="F7">
        <v>1</v>
      </c>
      <c r="G7">
        <v>1.1499999999999999</v>
      </c>
      <c r="H7">
        <v>1.08</v>
      </c>
      <c r="I7" t="s">
        <v>204</v>
      </c>
      <c r="J7" t="s">
        <v>205</v>
      </c>
      <c r="K7" t="s">
        <v>208</v>
      </c>
    </row>
    <row r="8" spans="1:11" x14ac:dyDescent="0.25">
      <c r="A8" t="s">
        <v>149</v>
      </c>
      <c r="B8" t="s">
        <v>132</v>
      </c>
      <c r="C8" t="s">
        <v>162</v>
      </c>
      <c r="D8" t="s">
        <v>160</v>
      </c>
      <c r="E8" t="s">
        <v>147</v>
      </c>
      <c r="F8">
        <v>0.95</v>
      </c>
      <c r="G8">
        <v>0.95</v>
      </c>
      <c r="H8">
        <v>0.98</v>
      </c>
      <c r="I8" t="s">
        <v>204</v>
      </c>
      <c r="J8" t="s">
        <v>205</v>
      </c>
      <c r="K8" t="s">
        <v>206</v>
      </c>
    </row>
    <row r="9" spans="1:11" x14ac:dyDescent="0.25">
      <c r="A9" t="s">
        <v>149</v>
      </c>
      <c r="B9" t="s">
        <v>132</v>
      </c>
      <c r="C9" t="s">
        <v>133</v>
      </c>
      <c r="D9" t="s">
        <v>160</v>
      </c>
      <c r="E9" t="s">
        <v>147</v>
      </c>
      <c r="F9">
        <v>1</v>
      </c>
      <c r="G9">
        <v>1.1000000000000001</v>
      </c>
      <c r="H9">
        <v>1.05</v>
      </c>
      <c r="I9" t="s">
        <v>204</v>
      </c>
      <c r="J9" t="s">
        <v>205</v>
      </c>
      <c r="K9" t="s">
        <v>207</v>
      </c>
    </row>
    <row r="10" spans="1:11" x14ac:dyDescent="0.25">
      <c r="A10" t="s">
        <v>149</v>
      </c>
      <c r="B10" t="s">
        <v>132</v>
      </c>
      <c r="C10" t="s">
        <v>159</v>
      </c>
      <c r="D10" t="s">
        <v>160</v>
      </c>
      <c r="E10" t="s">
        <v>147</v>
      </c>
      <c r="F10">
        <v>1</v>
      </c>
      <c r="G10">
        <v>1.1499999999999999</v>
      </c>
      <c r="H10">
        <v>1.08</v>
      </c>
      <c r="I10" t="s">
        <v>204</v>
      </c>
      <c r="J10" t="s">
        <v>205</v>
      </c>
      <c r="K10" t="s">
        <v>208</v>
      </c>
    </row>
    <row r="11" spans="1:11" x14ac:dyDescent="0.25">
      <c r="A11" s="7" t="s">
        <v>48</v>
      </c>
      <c r="B11" s="7" t="s">
        <v>49</v>
      </c>
      <c r="C11" s="7" t="s">
        <v>73</v>
      </c>
      <c r="D11" s="7" t="s">
        <v>160</v>
      </c>
      <c r="E11" t="s">
        <v>76</v>
      </c>
      <c r="F11">
        <v>0.85</v>
      </c>
      <c r="G11">
        <v>0.85</v>
      </c>
      <c r="H11">
        <v>0.95</v>
      </c>
      <c r="I11" t="s">
        <v>211</v>
      </c>
      <c r="J11" t="s">
        <v>205</v>
      </c>
      <c r="K11" s="8" t="s">
        <v>212</v>
      </c>
    </row>
    <row r="12" spans="1:11" x14ac:dyDescent="0.25">
      <c r="A12" s="7" t="s">
        <v>48</v>
      </c>
      <c r="B12" s="7" t="s">
        <v>49</v>
      </c>
      <c r="C12" s="7" t="s">
        <v>57</v>
      </c>
      <c r="D12" s="7" t="s">
        <v>71</v>
      </c>
      <c r="E12" t="s">
        <v>76</v>
      </c>
      <c r="F12">
        <v>0.9</v>
      </c>
      <c r="G12">
        <v>0.95</v>
      </c>
      <c r="H12">
        <v>0.98</v>
      </c>
      <c r="I12" t="s">
        <v>213</v>
      </c>
      <c r="J12" t="s">
        <v>205</v>
      </c>
      <c r="K12" s="8" t="s">
        <v>214</v>
      </c>
    </row>
    <row r="13" spans="1:11" x14ac:dyDescent="0.25">
      <c r="A13" s="7" t="s">
        <v>48</v>
      </c>
      <c r="B13" s="7" t="s">
        <v>49</v>
      </c>
      <c r="C13" s="7" t="s">
        <v>50</v>
      </c>
      <c r="D13" s="7" t="s">
        <v>209</v>
      </c>
      <c r="E13" s="7" t="s">
        <v>210</v>
      </c>
      <c r="F13">
        <v>1</v>
      </c>
      <c r="G13">
        <v>1.1200000000000001</v>
      </c>
      <c r="H13">
        <v>1.1000000000000001</v>
      </c>
      <c r="I13" t="s">
        <v>215</v>
      </c>
      <c r="J13" t="s">
        <v>205</v>
      </c>
      <c r="K13" s="8" t="s">
        <v>216</v>
      </c>
    </row>
    <row r="14" spans="1:11" x14ac:dyDescent="0.25">
      <c r="A14" s="7" t="s">
        <v>48</v>
      </c>
      <c r="B14" s="7" t="s">
        <v>49</v>
      </c>
      <c r="C14" s="7" t="s">
        <v>57</v>
      </c>
      <c r="D14" s="7" t="s">
        <v>71</v>
      </c>
      <c r="E14" t="s">
        <v>76</v>
      </c>
      <c r="F14">
        <v>0.9</v>
      </c>
      <c r="G14">
        <v>0.95</v>
      </c>
      <c r="H14">
        <v>0.98</v>
      </c>
      <c r="I14" t="s">
        <v>213</v>
      </c>
      <c r="J14" t="s">
        <v>205</v>
      </c>
      <c r="K14" s="8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FEBE-0F4B-4A30-8443-0DC0960E2CAF}">
  <dimension ref="A1:R4"/>
  <sheetViews>
    <sheetView zoomScale="80" zoomScaleNormal="80" workbookViewId="0">
      <selection sqref="A1:XFD4"/>
    </sheetView>
  </sheetViews>
  <sheetFormatPr defaultRowHeight="15" x14ac:dyDescent="0.25"/>
  <cols>
    <col min="1" max="1" width="10.5703125" bestFit="1" customWidth="1"/>
    <col min="2" max="2" width="10" bestFit="1" customWidth="1"/>
    <col min="3" max="3" width="35" bestFit="1" customWidth="1"/>
    <col min="4" max="4" width="8.140625" bestFit="1" customWidth="1"/>
    <col min="5" max="5" width="22.140625" bestFit="1" customWidth="1"/>
    <col min="6" max="6" width="20.85546875" bestFit="1" customWidth="1"/>
    <col min="7" max="7" width="14.7109375" bestFit="1" customWidth="1"/>
    <col min="8" max="8" width="22.42578125" bestFit="1" customWidth="1"/>
    <col min="9" max="10" width="22.42578125" customWidth="1"/>
    <col min="11" max="11" width="13.85546875" bestFit="1" customWidth="1"/>
    <col min="12" max="12" width="13" bestFit="1" customWidth="1"/>
    <col min="13" max="13" width="14.42578125" bestFit="1" customWidth="1"/>
    <col min="14" max="14" width="18.85546875" bestFit="1" customWidth="1"/>
    <col min="15" max="15" width="17.7109375" bestFit="1" customWidth="1"/>
    <col min="16" max="16" width="21.42578125" bestFit="1" customWidth="1"/>
    <col min="17" max="17" width="19.28515625" bestFit="1" customWidth="1"/>
    <col min="18" max="18" width="6" bestFit="1" customWidth="1"/>
  </cols>
  <sheetData>
    <row r="1" spans="1:18" s="2" customFormat="1" x14ac:dyDescent="0.25">
      <c r="A1" s="2" t="s">
        <v>2</v>
      </c>
      <c r="B1" s="2" t="s">
        <v>1</v>
      </c>
      <c r="C1" s="2" t="s">
        <v>59</v>
      </c>
      <c r="D1" s="2" t="s">
        <v>60</v>
      </c>
      <c r="E1" s="5" t="s">
        <v>36</v>
      </c>
      <c r="F1" s="5" t="s">
        <v>61</v>
      </c>
      <c r="G1" s="5" t="s">
        <v>37</v>
      </c>
      <c r="H1" s="2" t="s">
        <v>38</v>
      </c>
      <c r="I1" s="2" t="s">
        <v>217</v>
      </c>
      <c r="J1" s="2" t="s">
        <v>221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5" t="s">
        <v>67</v>
      </c>
      <c r="Q1" s="2" t="s">
        <v>68</v>
      </c>
      <c r="R1" s="2" t="s">
        <v>18</v>
      </c>
    </row>
    <row r="2" spans="1:18" x14ac:dyDescent="0.25">
      <c r="A2" t="s">
        <v>20</v>
      </c>
      <c r="B2" t="s">
        <v>19</v>
      </c>
      <c r="C2" t="s">
        <v>69</v>
      </c>
      <c r="D2">
        <v>125.4</v>
      </c>
      <c r="E2" s="6" t="s">
        <v>48</v>
      </c>
      <c r="F2" s="6" t="s">
        <v>70</v>
      </c>
      <c r="G2" s="6" t="s">
        <v>49</v>
      </c>
      <c r="H2" t="s">
        <v>50</v>
      </c>
      <c r="I2" t="s">
        <v>218</v>
      </c>
      <c r="J2">
        <v>5</v>
      </c>
      <c r="K2" t="s">
        <v>71</v>
      </c>
      <c r="L2" t="s">
        <v>72</v>
      </c>
      <c r="M2" t="s">
        <v>51</v>
      </c>
      <c r="N2" t="s">
        <v>51</v>
      </c>
      <c r="O2" t="s">
        <v>49</v>
      </c>
      <c r="P2" s="6" t="s">
        <v>73</v>
      </c>
      <c r="Q2" s="1">
        <v>46023</v>
      </c>
    </row>
    <row r="3" spans="1:18" x14ac:dyDescent="0.25">
      <c r="A3" t="s">
        <v>26</v>
      </c>
      <c r="B3" t="s">
        <v>19</v>
      </c>
      <c r="C3" t="s">
        <v>74</v>
      </c>
      <c r="D3">
        <v>89.7</v>
      </c>
      <c r="E3" s="6" t="s">
        <v>48</v>
      </c>
      <c r="F3" s="6" t="s">
        <v>75</v>
      </c>
      <c r="G3" s="6" t="s">
        <v>49</v>
      </c>
      <c r="H3" t="s">
        <v>57</v>
      </c>
      <c r="I3" t="s">
        <v>219</v>
      </c>
      <c r="J3">
        <v>8</v>
      </c>
      <c r="K3" t="s">
        <v>71</v>
      </c>
      <c r="L3" t="s">
        <v>76</v>
      </c>
      <c r="M3" t="s">
        <v>51</v>
      </c>
      <c r="N3" t="s">
        <v>51</v>
      </c>
      <c r="O3" t="s">
        <v>49</v>
      </c>
      <c r="P3" s="6" t="s">
        <v>57</v>
      </c>
      <c r="Q3" s="1">
        <v>46023</v>
      </c>
    </row>
    <row r="4" spans="1:18" x14ac:dyDescent="0.25">
      <c r="A4" t="s">
        <v>20</v>
      </c>
      <c r="B4" t="s">
        <v>141</v>
      </c>
      <c r="C4" t="s">
        <v>157</v>
      </c>
      <c r="D4">
        <v>150</v>
      </c>
      <c r="E4" s="6" t="s">
        <v>149</v>
      </c>
      <c r="F4" s="6" t="s">
        <v>158</v>
      </c>
      <c r="G4" s="6" t="s">
        <v>132</v>
      </c>
      <c r="H4" t="s">
        <v>159</v>
      </c>
      <c r="I4" t="s">
        <v>220</v>
      </c>
      <c r="J4">
        <v>9</v>
      </c>
      <c r="K4" t="s">
        <v>160</v>
      </c>
      <c r="L4" t="s">
        <v>147</v>
      </c>
      <c r="M4" t="s">
        <v>161</v>
      </c>
      <c r="N4" t="s">
        <v>51</v>
      </c>
      <c r="O4" t="s">
        <v>132</v>
      </c>
      <c r="P4" s="6" t="s">
        <v>162</v>
      </c>
      <c r="Q4" s="1">
        <v>45292</v>
      </c>
      <c r="R4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AE4-F479-47F2-A7D9-6780452D29FE}">
  <sheetPr>
    <tabColor rgb="FFFF0000"/>
  </sheetPr>
  <dimension ref="A2:N11"/>
  <sheetViews>
    <sheetView tabSelected="1" zoomScale="80" zoomScaleNormal="80" workbookViewId="0">
      <selection activeCell="P8" sqref="P8"/>
    </sheetView>
  </sheetViews>
  <sheetFormatPr defaultRowHeight="15" x14ac:dyDescent="0.25"/>
  <cols>
    <col min="1" max="1" width="19.5703125" bestFit="1" customWidth="1"/>
    <col min="2" max="2" width="10" bestFit="1" customWidth="1"/>
    <col min="3" max="3" width="10.85546875" bestFit="1" customWidth="1"/>
    <col min="4" max="4" width="9.5703125" bestFit="1" customWidth="1"/>
    <col min="5" max="5" width="16.28515625" bestFit="1" customWidth="1"/>
    <col min="6" max="6" width="12.7109375" bestFit="1" customWidth="1"/>
    <col min="7" max="7" width="13.85546875" bestFit="1" customWidth="1"/>
    <col min="8" max="8" width="17.5703125" bestFit="1" customWidth="1"/>
    <col min="9" max="9" width="12.140625" bestFit="1" customWidth="1"/>
    <col min="10" max="10" width="19.42578125" bestFit="1" customWidth="1"/>
    <col min="11" max="11" width="24.85546875" bestFit="1" customWidth="1"/>
    <col min="12" max="12" width="17.28515625" bestFit="1" customWidth="1"/>
    <col min="13" max="13" width="4.42578125" bestFit="1" customWidth="1"/>
    <col min="14" max="14" width="12.28515625" bestFit="1" customWidth="1"/>
  </cols>
  <sheetData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222</v>
      </c>
    </row>
    <row r="3" spans="1:14" x14ac:dyDescent="0.25">
      <c r="A3" t="s">
        <v>171</v>
      </c>
      <c r="B3" t="s">
        <v>19</v>
      </c>
      <c r="C3" t="s">
        <v>20</v>
      </c>
      <c r="D3" t="s">
        <v>21</v>
      </c>
      <c r="E3" t="s">
        <v>22</v>
      </c>
      <c r="F3" s="1">
        <v>46127</v>
      </c>
      <c r="G3">
        <v>0</v>
      </c>
      <c r="H3">
        <v>10</v>
      </c>
      <c r="I3">
        <v>1.85</v>
      </c>
      <c r="J3">
        <v>1.28</v>
      </c>
      <c r="K3">
        <v>0.05</v>
      </c>
      <c r="L3">
        <v>18.2</v>
      </c>
      <c r="M3">
        <v>6.4</v>
      </c>
      <c r="N3" s="9">
        <f>I3*J3*(H3-G3)*(1-K3)*0.1</f>
        <v>2.2496000000000005</v>
      </c>
    </row>
    <row r="4" spans="1:14" x14ac:dyDescent="0.25">
      <c r="A4" t="s">
        <v>172</v>
      </c>
      <c r="B4" t="s">
        <v>19</v>
      </c>
      <c r="C4" t="s">
        <v>20</v>
      </c>
      <c r="D4" t="s">
        <v>21</v>
      </c>
      <c r="E4" t="s">
        <v>22</v>
      </c>
      <c r="F4" s="1">
        <v>46127</v>
      </c>
      <c r="G4">
        <v>10</v>
      </c>
      <c r="H4">
        <v>30</v>
      </c>
      <c r="I4">
        <v>1.22</v>
      </c>
      <c r="J4">
        <v>1.36</v>
      </c>
      <c r="K4">
        <v>0.08</v>
      </c>
      <c r="L4">
        <v>20.5</v>
      </c>
      <c r="M4">
        <v>6.3</v>
      </c>
      <c r="N4" s="9">
        <f t="shared" ref="N4:N11" si="0">I4*J4*(H4-G4)*(1-K4)*0.1</f>
        <v>3.0529280000000001</v>
      </c>
    </row>
    <row r="5" spans="1:14" x14ac:dyDescent="0.25">
      <c r="A5" t="s">
        <v>173</v>
      </c>
      <c r="B5" t="s">
        <v>19</v>
      </c>
      <c r="C5" t="s">
        <v>26</v>
      </c>
      <c r="D5" t="s">
        <v>27</v>
      </c>
      <c r="E5" t="s">
        <v>22</v>
      </c>
      <c r="F5" s="1">
        <v>46129</v>
      </c>
      <c r="G5">
        <v>0</v>
      </c>
      <c r="H5">
        <v>10</v>
      </c>
      <c r="I5">
        <v>2.1</v>
      </c>
      <c r="J5">
        <v>1.1100000000000001</v>
      </c>
      <c r="K5">
        <v>0.02</v>
      </c>
      <c r="L5">
        <v>22</v>
      </c>
      <c r="M5">
        <v>6.8</v>
      </c>
      <c r="N5" s="9">
        <f t="shared" si="0"/>
        <v>2.2843800000000001</v>
      </c>
    </row>
    <row r="6" spans="1:14" x14ac:dyDescent="0.25">
      <c r="A6" t="s">
        <v>174</v>
      </c>
      <c r="B6" t="s">
        <v>141</v>
      </c>
      <c r="C6" t="s">
        <v>20</v>
      </c>
      <c r="D6" t="s">
        <v>168</v>
      </c>
      <c r="E6" t="s">
        <v>192</v>
      </c>
      <c r="F6" s="1">
        <v>45181</v>
      </c>
      <c r="G6">
        <v>0</v>
      </c>
      <c r="H6">
        <v>10</v>
      </c>
      <c r="I6">
        <v>1.1000000000000001</v>
      </c>
      <c r="J6">
        <v>1.48</v>
      </c>
      <c r="K6">
        <v>0.06</v>
      </c>
      <c r="L6">
        <v>17.5</v>
      </c>
      <c r="M6">
        <v>5.9</v>
      </c>
      <c r="N6" s="9">
        <f t="shared" si="0"/>
        <v>1.5303200000000001</v>
      </c>
    </row>
    <row r="7" spans="1:14" x14ac:dyDescent="0.25">
      <c r="A7" t="s">
        <v>175</v>
      </c>
      <c r="B7" t="s">
        <v>141</v>
      </c>
      <c r="C7" t="s">
        <v>20</v>
      </c>
      <c r="D7" t="s">
        <v>168</v>
      </c>
      <c r="E7" t="s">
        <v>192</v>
      </c>
      <c r="F7" s="1">
        <v>45181</v>
      </c>
      <c r="G7">
        <v>10</v>
      </c>
      <c r="H7">
        <v>30</v>
      </c>
      <c r="I7">
        <v>0.55000000000000004</v>
      </c>
      <c r="J7">
        <v>1.52</v>
      </c>
      <c r="K7">
        <v>0.08</v>
      </c>
      <c r="L7">
        <v>19</v>
      </c>
      <c r="M7">
        <v>6</v>
      </c>
      <c r="N7" s="9">
        <f t="shared" si="0"/>
        <v>1.5382400000000003</v>
      </c>
    </row>
    <row r="8" spans="1:14" x14ac:dyDescent="0.25">
      <c r="A8" t="s">
        <v>176</v>
      </c>
      <c r="B8" t="s">
        <v>141</v>
      </c>
      <c r="C8" t="s">
        <v>20</v>
      </c>
      <c r="D8" t="s">
        <v>169</v>
      </c>
      <c r="E8" t="s">
        <v>192</v>
      </c>
      <c r="F8" s="1">
        <v>45182</v>
      </c>
      <c r="G8">
        <v>0</v>
      </c>
      <c r="H8">
        <v>10</v>
      </c>
      <c r="I8">
        <v>1.25</v>
      </c>
      <c r="J8">
        <v>1.46</v>
      </c>
      <c r="K8">
        <v>0.05</v>
      </c>
      <c r="L8">
        <v>18.8</v>
      </c>
      <c r="M8">
        <v>5.8</v>
      </c>
      <c r="N8" s="9">
        <f t="shared" si="0"/>
        <v>1.7337499999999999</v>
      </c>
    </row>
    <row r="9" spans="1:14" x14ac:dyDescent="0.25">
      <c r="A9" t="s">
        <v>194</v>
      </c>
      <c r="B9" t="s">
        <v>141</v>
      </c>
      <c r="C9" t="s">
        <v>20</v>
      </c>
      <c r="D9" t="s">
        <v>169</v>
      </c>
      <c r="E9" t="s">
        <v>192</v>
      </c>
      <c r="F9" s="1">
        <v>45182</v>
      </c>
      <c r="G9">
        <v>10</v>
      </c>
      <c r="H9">
        <v>30</v>
      </c>
      <c r="I9">
        <v>0.6</v>
      </c>
      <c r="J9">
        <v>1.5</v>
      </c>
      <c r="K9">
        <v>7.0000000000000007E-2</v>
      </c>
      <c r="L9">
        <v>20.100000000000001</v>
      </c>
      <c r="M9">
        <v>5.9</v>
      </c>
      <c r="N9" s="9">
        <f t="shared" si="0"/>
        <v>1.6739999999999999</v>
      </c>
    </row>
    <row r="10" spans="1:14" x14ac:dyDescent="0.25">
      <c r="A10" t="s">
        <v>195</v>
      </c>
      <c r="B10" t="s">
        <v>141</v>
      </c>
      <c r="C10" t="s">
        <v>20</v>
      </c>
      <c r="D10" t="s">
        <v>170</v>
      </c>
      <c r="E10" t="s">
        <v>22</v>
      </c>
      <c r="F10" s="1">
        <v>46132</v>
      </c>
      <c r="G10">
        <v>0</v>
      </c>
      <c r="H10">
        <v>10</v>
      </c>
      <c r="I10">
        <v>1.65</v>
      </c>
      <c r="J10">
        <v>1.42</v>
      </c>
      <c r="K10">
        <v>0.04</v>
      </c>
      <c r="L10">
        <v>21</v>
      </c>
      <c r="M10">
        <v>6.2</v>
      </c>
      <c r="N10" s="9">
        <f t="shared" si="0"/>
        <v>2.2492800000000002</v>
      </c>
    </row>
    <row r="11" spans="1:14" x14ac:dyDescent="0.25">
      <c r="A11" t="s">
        <v>196</v>
      </c>
      <c r="B11" t="s">
        <v>141</v>
      </c>
      <c r="C11" t="s">
        <v>20</v>
      </c>
      <c r="D11" t="s">
        <v>170</v>
      </c>
      <c r="E11" t="s">
        <v>22</v>
      </c>
      <c r="F11" s="1">
        <v>46132</v>
      </c>
      <c r="G11">
        <v>10</v>
      </c>
      <c r="H11">
        <v>30</v>
      </c>
      <c r="I11">
        <v>0.95</v>
      </c>
      <c r="J11">
        <v>1.47</v>
      </c>
      <c r="K11">
        <v>0.06</v>
      </c>
      <c r="L11">
        <v>22.3</v>
      </c>
      <c r="M11">
        <v>6.1</v>
      </c>
      <c r="N11" s="9">
        <f t="shared" si="0"/>
        <v>2.6254199999999996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annual_activity_data</vt:lpstr>
      <vt:lpstr>sample_points</vt:lpstr>
      <vt:lpstr>soc_reference_stocks</vt:lpstr>
      <vt:lpstr>soc_samples</vt:lpstr>
      <vt:lpstr>soc_stock_change_factors</vt:lpstr>
      <vt:lpstr>strata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Bollier</dc:creator>
  <cp:lastModifiedBy>Thierry Bollier</cp:lastModifiedBy>
  <dcterms:created xsi:type="dcterms:W3CDTF">2026-03-09T21:44:57Z</dcterms:created>
  <dcterms:modified xsi:type="dcterms:W3CDTF">2026-03-12T00:33:21Z</dcterms:modified>
</cp:coreProperties>
</file>